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cenario Output" sheetId="2" state="visible" r:id="rId4"/>
    <sheet name="Real Odds Examples" sheetId="3" state="visible" r:id="rId5"/>
    <sheet name="Max Aggress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<sst xmlns="http://schemas.openxmlformats.org/spreadsheetml/2006/main" count="181" uniqueCount="146">
  <si>
    <t xml:space="preserve">SURF BETTING SCENARIO MODEL</t>
  </si>
  <si>
    <t xml:space="preserve">Back-of-Napkin Sizing | All figures illustrative</t>
  </si>
  <si>
    <t xml:space="preserve">PLATFORM ASSUMPTIONS</t>
  </si>
  <si>
    <t xml:space="preserve">Platform</t>
  </si>
  <si>
    <t xml:space="preserve">Max Bet / Event</t>
  </si>
  <si>
    <t xml:space="preserve">Events / Year</t>
  </si>
  <si>
    <t xml:space="preserve">Surf Available?</t>
  </si>
  <si>
    <t xml:space="preserve">Notes</t>
  </si>
  <si>
    <t xml:space="preserve">DraftKings</t>
  </si>
  <si>
    <t xml:space="preserve">Yes</t>
  </si>
  <si>
    <t xml:space="preserve">US primary; state-dependent</t>
  </si>
  <si>
    <t xml:space="preserve">FanDuel</t>
  </si>
  <si>
    <t xml:space="preserve">US primary; sharp-friendly</t>
  </si>
  <si>
    <t xml:space="preserve">BetMGM</t>
  </si>
  <si>
    <t xml:space="preserve">Fast to limit winners</t>
  </si>
  <si>
    <t xml:space="preserve">Bet365</t>
  </si>
  <si>
    <t xml:space="preserve">Gradual limiting</t>
  </si>
  <si>
    <t xml:space="preserve">Caesars</t>
  </si>
  <si>
    <t xml:space="preserve">US; limited prop coverage</t>
  </si>
  <si>
    <t xml:space="preserve">BetUS</t>
  </si>
  <si>
    <t xml:space="preserve">Offshore; higher limits possible</t>
  </si>
  <si>
    <t xml:space="preserve">TAB (Australia)</t>
  </si>
  <si>
    <t xml:space="preserve">Deepest surf market</t>
  </si>
  <si>
    <t xml:space="preserve">Sportsbet (AU)</t>
  </si>
  <si>
    <t xml:space="preserve">Australian market</t>
  </si>
  <si>
    <t xml:space="preserve">Total Platforms</t>
  </si>
  <si>
    <t xml:space="preserve">MODEL EDGE ASSUMPTIONS</t>
  </si>
  <si>
    <t xml:space="preserve">Parameter</t>
  </si>
  <si>
    <t xml:space="preserve">Low (Conservative)</t>
  </si>
  <si>
    <t xml:space="preserve">Medium (Realistic)</t>
  </si>
  <si>
    <t xml:space="preserve">High (Optimistic)</t>
  </si>
  <si>
    <t xml:space="preserve">Model edge over market (% above break-even)</t>
  </si>
  <si>
    <t xml:space="preserve">Win rate on bets placed</t>
  </si>
  <si>
    <t xml:space="preserve">Avg odds on bets placed (decimal)</t>
  </si>
  <si>
    <t xml:space="preserve">Bets placed per event (across all platforms)</t>
  </si>
  <si>
    <t xml:space="preserve">Events bet on per year</t>
  </si>
  <si>
    <t xml:space="preserve">Average vig / juice</t>
  </si>
  <si>
    <t xml:space="preserve">Platform utilization (% of platforms actually used)</t>
  </si>
  <si>
    <t xml:space="preserve">SCENARIO OUTPUT — ANNUAL P&amp;L ESTIMATE</t>
  </si>
  <si>
    <t xml:space="preserve">Assumes $500/event/platform max bet, 2026 WSL CT season</t>
  </si>
  <si>
    <t xml:space="preserve">CAPITAL DEPLOYED</t>
  </si>
  <si>
    <t xml:space="preserve">Metric</t>
  </si>
  <si>
    <t xml:space="preserve">Low</t>
  </si>
  <si>
    <t xml:space="preserve">Medium</t>
  </si>
  <si>
    <t xml:space="preserve">High</t>
  </si>
  <si>
    <t xml:space="preserve">Platforms used</t>
  </si>
  <si>
    <t xml:space="preserve">Bet size per platform per event</t>
  </si>
  <si>
    <t xml:space="preserve">Bets per event (total across platforms)</t>
  </si>
  <si>
    <t xml:space="preserve">Events bet on</t>
  </si>
  <si>
    <t xml:space="preserve">Total bets per year</t>
  </si>
  <si>
    <t xml:space="preserve">Total capital wagered per year</t>
  </si>
  <si>
    <t xml:space="preserve">EXPECTED RETURNS (ANNUAL)</t>
  </si>
  <si>
    <t xml:space="preserve">Average odds (decimal)</t>
  </si>
  <si>
    <t xml:space="preserve">Win rate</t>
  </si>
  <si>
    <t xml:space="preserve">Expected value per $1 bet (before vig)</t>
  </si>
  <si>
    <t xml:space="preserve">Vig drag per $1 bet</t>
  </si>
  <si>
    <t xml:space="preserve">Net EV per $1 bet (after vig)</t>
  </si>
  <si>
    <t xml:space="preserve">Gross winnings (wins × payout)</t>
  </si>
  <si>
    <t xml:space="preserve">Total wagered</t>
  </si>
  <si>
    <t xml:space="preserve">Net profit (Gross - Wagered)</t>
  </si>
  <si>
    <t xml:space="preserve">ROI (Net / Wagered)</t>
  </si>
  <si>
    <t xml:space="preserve">MULTI-YEAR PROJECTION (Medium Scenario)</t>
  </si>
  <si>
    <t xml:space="preserve">Year</t>
  </si>
  <si>
    <t xml:space="preserve">Cumulative Wagered</t>
  </si>
  <si>
    <t xml:space="preserve">Cumulative Profit</t>
  </si>
  <si>
    <t xml:space="preserve">Cumulative ROI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</si>
  <si>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</si>
  <si>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</si>
  <si>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</si>
  <si>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</si>
  <si>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</si>
  <si>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REALITY CHECK</t>
  </si>
  <si>
    <t xml:space="preserve">• These numbers assume consistent edge over time — edge decay is real and unmodeled here.</t>
  </si>
  <si>
    <t xml:space="preserve">• Getting limited on platforms will reduce effective platform count over time.</t>
  </si>
  <si>
    <t xml:space="preserve">• The 'High' scenario (10% edge, 60% win rate at 3.0 avg odds) is extremely optimistic.</t>
  </si>
  <si>
    <t xml:space="preserve">• The 'Low' scenario is the most honest starting expectation. Medium requires proven edge.</t>
  </si>
  <si>
    <t xml:space="preserve">• Variance is enormous — a 55% win rate means ~45% of bets lose. Drawdowns will happen.</t>
  </si>
  <si>
    <t xml:space="preserve">• No exchange markets exist for surf — sportsbook limitation risk is the binding constraint.</t>
  </si>
  <si>
    <t xml:space="preserve">• This model does NOT account for bankroll management / Kelly criterion sizing.</t>
  </si>
  <si>
    <t xml:space="preserve">BREAKEVEN ANALYSIS</t>
  </si>
  <si>
    <t xml:space="preserve">At These Avg Odds</t>
  </si>
  <si>
    <t xml:space="preserve">Breakeven Win Rate (incl. vig)</t>
  </si>
  <si>
    <t xml:space="preserve">Your Edge If Win Rate = 55%</t>
  </si>
  <si>
    <t xml:space="preserve">Profit at 55% / $500 / 60 bets</t>
  </si>
  <si>
    <t xml:space="preserve">REAL ODDS FROM NXTBETS DATA (2024-2025 CT Events)</t>
  </si>
  <si>
    <t xml:space="preserve">OUTRIGHT WINNER ODDS — 2024 Fiji Pro (Men's CT)</t>
  </si>
  <si>
    <t xml:space="preserve">Surfer</t>
  </si>
  <si>
    <t xml:space="preserve">Moneyline</t>
  </si>
  <si>
    <t xml:space="preserve">Decimal Odds</t>
  </si>
  <si>
    <t xml:space="preserve">Implied Prob</t>
  </si>
  <si>
    <t xml:space="preserve">If $500 Bet Wins</t>
  </si>
  <si>
    <t xml:space="preserve">Profit if Wins</t>
  </si>
  <si>
    <t xml:space="preserve">John John Florence</t>
  </si>
  <si>
    <t xml:space="preserve">Jack Robinson</t>
  </si>
  <si>
    <t xml:space="preserve">Gabriel Medina</t>
  </si>
  <si>
    <t xml:space="preserve">Griffin Colapinto</t>
  </si>
  <si>
    <t xml:space="preserve">Ethan Ewing</t>
  </si>
  <si>
    <t xml:space="preserve">Italo Ferreira</t>
  </si>
  <si>
    <t xml:space="preserve">OUTRIGHT WINNER ODDS — 2025 Pipe Pro (Men's CT)</t>
  </si>
  <si>
    <t xml:space="preserve">Filipe Toledo</t>
  </si>
  <si>
    <t xml:space="preserve">Yago Dora</t>
  </si>
  <si>
    <t xml:space="preserve">KEY INSIGHT: At these odds, a single correct outright winner bet at +900 on a $500 stake returns $4,500+ profit.</t>
  </si>
  <si>
    <t xml:space="preserve">But outright winners are rare (~10-15% implied probability for favorites). The edge must come from systematically identifying mispriced underdogs.</t>
  </si>
  <si>
    <t xml:space="preserve">MAX AGGRESSION SCENARIO</t>
  </si>
  <si>
    <t xml:space="preserve">$1,000/platform × same bet on ALL platforms × 60% model accuracy</t>
  </si>
  <si>
    <t xml:space="preserve">ASSUMPTIONS</t>
  </si>
  <si>
    <t xml:space="preserve">Value</t>
  </si>
  <si>
    <t xml:space="preserve">Bet size per platform</t>
  </si>
  <si>
    <t xml:space="preserve">Number of platforms (simultaneous)</t>
  </si>
  <si>
    <t xml:space="preserve">Capital per bet (all platforms)</t>
  </si>
  <si>
    <t xml:space="preserve">Bets per event</t>
  </si>
  <si>
    <t xml:space="preserve">Events per year (CT season)</t>
  </si>
  <si>
    <t xml:space="preserve">Total bet instances per year</t>
  </si>
  <si>
    <t xml:space="preserve">Model win rate</t>
  </si>
  <si>
    <t xml:space="preserve">Average decimal odds on bets placed</t>
  </si>
  <si>
    <t xml:space="preserve">Vig / juice</t>
  </si>
  <si>
    <t xml:space="preserve">ANNUAL RETURN BY AVERAGE ODDS TIER (60% win rate, $1K × 8 platforms, 22 bets/yr)</t>
  </si>
  <si>
    <t xml:space="preserve">Avg Decimal Odds</t>
  </si>
  <si>
    <t xml:space="preserve">Gross Winnings</t>
  </si>
  <si>
    <t xml:space="preserve">Total Wagered</t>
  </si>
  <si>
    <t xml:space="preserve">Net Profit</t>
  </si>
  <si>
    <t xml:space="preserve">ROI</t>
  </si>
  <si>
    <t xml:space="preserve">HEADLINE SCENARIO: 2.5 AVG ODDS</t>
  </si>
  <si>
    <t xml:space="preserve">Capital at risk per bet (across 8 platforms)</t>
  </si>
  <si>
    <t xml:space="preserve">Total bets per year (bet instances)</t>
  </si>
  <si>
    <t xml:space="preserve">Expected wins (60% of bets)</t>
  </si>
  <si>
    <t xml:space="preserve">Expected losses</t>
  </si>
  <si>
    <t xml:space="preserve">Gross payout from wins</t>
  </si>
  <si>
    <t xml:space="preserve">Total staked</t>
  </si>
  <si>
    <t xml:space="preserve">NET ANNUAL PROFIT</t>
  </si>
  <si>
    <t xml:space="preserve">SENSITIVITY: NET PROFIT BY WIN RATE (at 2.5 odds, $1K × 8 platforms)</t>
  </si>
  <si>
    <t xml:space="preserve">Win Rate</t>
  </si>
  <si>
    <t xml:space="preserve">Gross Payout</t>
  </si>
  <si>
    <t xml:space="preserve">Wagered</t>
  </si>
  <si>
    <t xml:space="preserve">5-YEAR CUMULATIVE (Headline Scenario, No Edge Decay)</t>
  </si>
  <si>
    <t xml:space="preserve">Annual Wagered</t>
  </si>
  <si>
    <t xml:space="preserve">Annual Profit</t>
  </si>
  <si>
    <t xml:space="preserve">RISK REALITY CHECK</t>
  </si>
  <si>
    <t xml:space="preserve">1. SAME BET ON 8 PLATFORMS = correlated risk. One bad event costs you $8,000+ (8 × $1K), not $1K.</t>
  </si>
  <si>
    <t xml:space="preserve">2. At 22 bet instances/yr, a 3-loss streak (40% chance at 60% WR) means -$24,000 before recovery.</t>
  </si>
  <si>
    <t xml:space="preserve">3. Getting limited: identical sharp bets across platforms will be detected. Expect 2-3 platforms gone within 6 months.</t>
  </si>
  <si>
    <t xml:space="preserve">4. $1K limits may not be available on niche surf markets. $500 is more realistic; halve all numbers above.</t>
  </si>
  <si>
    <t xml:space="preserve">5. 60% win rate is the CEILING assumption. 55% is more realistic for a proven model. At 55%, annual profit drops ~40%.</t>
  </si>
  <si>
    <t xml:space="preserve">6. No exchange fallback exists for surf. Once sportsbooks limit you, there is no alternative venue.</t>
  </si>
  <si>
    <t xml:space="preserve">7. Edge decay: markets get smarter. Year 3+ profits will likely be lower than Year 1 unless the model keeps improving.</t>
  </si>
  <si>
    <t xml:space="preserve">8. This scenario requires ~$8K liquid bankroll per bet. With 2 bets/event, you need $16K available per event week.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</si>
</sst>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0.0%"/>
    <numFmt numFmtId="168" formatCode="0.0"/>
    <numFmt numFmtId="169" formatCode="0.00"/>
    <numFmt numFmtId="170" formatCode="\$#,##0;&quot;($&quot;#,##0\);\-"/>
    <numFmt numFmtId="171" formatCode="\+#,##0"/>
    <numFmt numFmtId="172" formatCode="\$#,##0"/>
    <numFmt numFmtId="173" formatCode="\$#,##0;&quot;($&quot;#,##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A0A0A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8B000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27AE6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8F5E9"/>
      </patternFill>
    </fill>
    <fill>
      <patternFill patternType="solid">
        <fgColor rgb="FFFFFFF0"/>
        <bgColor rgb="FFFFFFFF"/>
      </patternFill>
    </fill>
    <fill>
      <patternFill patternType="solid">
        <fgColor rgb="FFE8F5E9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C0392B"/>
        <bgColor rgb="FF993366"/>
      </patternFill>
    </fill>
    <fill>
      <patternFill patternType="solid">
        <fgColor rgb="FF27AE60"/>
        <bgColor rgb="FF008080"/>
      </patternFill>
    </fill>
    <fill>
      <patternFill patternType="solid">
        <fgColor rgb="FFFFEBEE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E0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FF0"/>
      <rgbColor rgb="FFCCFFCC"/>
      <rgbColor rgb="FFFFEBEE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A0A0A0"/>
      <rgbColor rgb="FF1B2A4A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8" min="3" style="1" width="16"/>
    <col collapsed="false" customWidth="true" hidden="false" outlineLevel="0" max="9" min="9" style="1" width="2"/>
  </cols>
  <sheetData>
    <row r="1" customFormat="false" ht="17.2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15" hidden="false" customHeight="true" outlineLevel="0" collapsed="false">
      <c r="B2" s="3" t="s">
        <v>1</v>
      </c>
      <c r="C2" s="3"/>
      <c r="D2" s="3"/>
      <c r="E2" s="3"/>
      <c r="F2" s="3"/>
      <c r="G2" s="3"/>
    </row>
    <row r="4" customFormat="false" ht="15" hidden="false" customHeight="true" outlineLevel="0" collapsed="false">
      <c r="B4" s="4" t="s">
        <v>2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customFormat="false" ht="15" hidden="false" customHeight="true" outlineLevel="0" collapsed="false">
      <c r="B6" s="6" t="s">
        <v>8</v>
      </c>
      <c r="C6" s="7" t="n">
        <v>500</v>
      </c>
      <c r="D6" s="8" t="n">
        <v>11</v>
      </c>
      <c r="E6" s="9" t="s">
        <v>9</v>
      </c>
      <c r="F6" s="10" t="s">
        <v>10</v>
      </c>
    </row>
    <row r="7" customFormat="false" ht="15" hidden="false" customHeight="true" outlineLevel="0" collapsed="false">
      <c r="B7" s="6" t="s">
        <v>11</v>
      </c>
      <c r="C7" s="7" t="n">
        <v>500</v>
      </c>
      <c r="D7" s="8" t="n">
        <v>11</v>
      </c>
      <c r="E7" s="9" t="s">
        <v>9</v>
      </c>
      <c r="F7" s="10" t="s">
        <v>12</v>
      </c>
    </row>
    <row r="8" customFormat="false" ht="15" hidden="false" customHeight="true" outlineLevel="0" collapsed="false">
      <c r="B8" s="6" t="s">
        <v>13</v>
      </c>
      <c r="C8" s="7" t="n">
        <v>500</v>
      </c>
      <c r="D8" s="8" t="n">
        <v>11</v>
      </c>
      <c r="E8" s="9" t="s">
        <v>9</v>
      </c>
      <c r="F8" s="10" t="s">
        <v>14</v>
      </c>
    </row>
    <row r="9" customFormat="false" ht="15" hidden="false" customHeight="true" outlineLevel="0" collapsed="false">
      <c r="B9" s="6" t="s">
        <v>15</v>
      </c>
      <c r="C9" s="7" t="n">
        <v>500</v>
      </c>
      <c r="D9" s="8" t="n">
        <v>11</v>
      </c>
      <c r="E9" s="9" t="s">
        <v>9</v>
      </c>
      <c r="F9" s="10" t="s">
        <v>16</v>
      </c>
    </row>
    <row r="10" customFormat="false" ht="15" hidden="false" customHeight="true" outlineLevel="0" collapsed="false">
      <c r="B10" s="6" t="s">
        <v>17</v>
      </c>
      <c r="C10" s="7" t="n">
        <v>500</v>
      </c>
      <c r="D10" s="8" t="n">
        <v>11</v>
      </c>
      <c r="E10" s="9" t="s">
        <v>9</v>
      </c>
      <c r="F10" s="10" t="s">
        <v>18</v>
      </c>
    </row>
    <row r="11" customFormat="false" ht="15" hidden="false" customHeight="true" outlineLevel="0" collapsed="false">
      <c r="B11" s="6" t="s">
        <v>19</v>
      </c>
      <c r="C11" s="7" t="n">
        <v>500</v>
      </c>
      <c r="D11" s="8" t="n">
        <v>11</v>
      </c>
      <c r="E11" s="9" t="s">
        <v>9</v>
      </c>
      <c r="F11" s="10" t="s">
        <v>20</v>
      </c>
    </row>
    <row r="12" customFormat="false" ht="15" hidden="false" customHeight="true" outlineLevel="0" collapsed="false">
      <c r="B12" s="6" t="s">
        <v>21</v>
      </c>
      <c r="C12" s="7" t="n">
        <v>500</v>
      </c>
      <c r="D12" s="8" t="n">
        <v>11</v>
      </c>
      <c r="E12" s="9" t="s">
        <v>9</v>
      </c>
      <c r="F12" s="10" t="s">
        <v>22</v>
      </c>
    </row>
    <row r="13" customFormat="false" ht="15" hidden="false" customHeight="true" outlineLevel="0" collapsed="false">
      <c r="B13" s="6" t="s">
        <v>23</v>
      </c>
      <c r="C13" s="7" t="n">
        <v>500</v>
      </c>
      <c r="D13" s="8" t="n">
        <v>11</v>
      </c>
      <c r="E13" s="9" t="s">
        <v>9</v>
      </c>
      <c r="F13" s="10" t="s">
        <v>24</v>
      </c>
    </row>
    <row r="14" customFormat="false" ht="15" hidden="false" customHeight="true" outlineLevel="0" collapsed="false">
      <c r="B14" s="11" t="s">
        <v>25</v>
      </c>
      <c r="C14" s="12" t="n">
        <f aca="false">COUNTA(B6:B13)</f>
        <v>8</v>
      </c>
      <c r="D14" s="13"/>
      <c r="E14" s="13"/>
      <c r="F14" s="13"/>
    </row>
    <row r="16" customFormat="false" ht="15" hidden="false" customHeight="true" outlineLevel="0" collapsed="false">
      <c r="B16" s="4" t="s">
        <v>26</v>
      </c>
      <c r="C16" s="4"/>
      <c r="D16" s="4"/>
      <c r="E16" s="4"/>
      <c r="F16" s="4"/>
      <c r="G16" s="4"/>
    </row>
    <row r="17" customFormat="false" ht="15" hidden="false" customHeight="true" outlineLevel="0" collapsed="false">
      <c r="B17" s="14" t="s">
        <v>27</v>
      </c>
      <c r="C17" s="14" t="s">
        <v>28</v>
      </c>
      <c r="D17" s="14" t="s">
        <v>29</v>
      </c>
      <c r="E17" s="14" t="s">
        <v>30</v>
      </c>
    </row>
    <row r="18" customFormat="false" ht="15" hidden="false" customHeight="true" outlineLevel="0" collapsed="false">
      <c r="B18" s="6" t="s">
        <v>31</v>
      </c>
      <c r="C18" s="15" t="n">
        <v>0.02</v>
      </c>
      <c r="D18" s="15" t="n">
        <v>0.05</v>
      </c>
      <c r="E18" s="15" t="n">
        <v>0.1</v>
      </c>
    </row>
    <row r="19" customFormat="false" ht="15" hidden="false" customHeight="true" outlineLevel="0" collapsed="false">
      <c r="B19" s="6" t="s">
        <v>32</v>
      </c>
      <c r="C19" s="15" t="n">
        <v>0.52</v>
      </c>
      <c r="D19" s="15" t="n">
        <v>0.55</v>
      </c>
      <c r="E19" s="15" t="n">
        <v>0.6</v>
      </c>
    </row>
    <row r="20" customFormat="false" ht="15" hidden="false" customHeight="true" outlineLevel="0" collapsed="false">
      <c r="B20" s="6" t="s">
        <v>33</v>
      </c>
      <c r="C20" s="16" t="n">
        <v>2</v>
      </c>
      <c r="D20" s="16" t="n">
        <v>2.5</v>
      </c>
      <c r="E20" s="16" t="n">
        <v>3</v>
      </c>
    </row>
    <row r="21" customFormat="false" ht="15" hidden="false" customHeight="true" outlineLevel="0" collapsed="false">
      <c r="B21" s="6" t="s">
        <v>34</v>
      </c>
      <c r="C21" s="17" t="n">
        <v>3</v>
      </c>
      <c r="D21" s="17" t="n">
        <v>6</v>
      </c>
      <c r="E21" s="17" t="n">
        <v>10</v>
      </c>
    </row>
    <row r="22" customFormat="false" ht="15" hidden="false" customHeight="true" outlineLevel="0" collapsed="false">
      <c r="B22" s="6" t="s">
        <v>35</v>
      </c>
      <c r="C22" s="17" t="n">
        <v>8</v>
      </c>
      <c r="D22" s="17" t="n">
        <v>10</v>
      </c>
      <c r="E22" s="17" t="n">
        <v>11</v>
      </c>
    </row>
    <row r="23" customFormat="false" ht="15" hidden="false" customHeight="true" outlineLevel="0" collapsed="false">
      <c r="B23" s="6" t="s">
        <v>36</v>
      </c>
      <c r="C23" s="15" t="n">
        <v>0.0476</v>
      </c>
      <c r="D23" s="15" t="n">
        <v>0.0476</v>
      </c>
      <c r="E23" s="15" t="n">
        <v>0.0476</v>
      </c>
    </row>
    <row r="24" customFormat="false" ht="15" hidden="false" customHeight="true" outlineLevel="0" collapsed="false">
      <c r="B24" s="6" t="s">
        <v>37</v>
      </c>
      <c r="C24" s="15" t="n">
        <v>0.5</v>
      </c>
      <c r="D24" s="15" t="n">
        <v>0.75</v>
      </c>
      <c r="E24" s="15" t="n">
        <v>1</v>
      </c>
    </row>
  </sheetData>
  <mergeCells count="4">
    <mergeCell ref="B1:G1"/>
    <mergeCell ref="B2:G2"/>
    <mergeCell ref="B4:G4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5" min="3" style="1" width="18"/>
    <col collapsed="false" customWidth="true" hidden="false" outlineLevel="0" max="6" min="6" style="1" width="2"/>
    <col collapsed="false" customWidth="true" hidden="false" outlineLevel="0" max="7" min="7" style="1" width="18"/>
    <col collapsed="false" customWidth="true" hidden="false" outlineLevel="0" max="8" min="8" style="1" width="2"/>
  </cols>
  <sheetData>
    <row r="1" customFormat="false" ht="17.25" hidden="false" customHeight="true" outlineLevel="0" collapsed="false">
      <c r="B1" s="2" t="s">
        <v>38</v>
      </c>
      <c r="C1" s="2"/>
      <c r="D1" s="2"/>
      <c r="E1" s="2"/>
    </row>
    <row r="2" customFormat="false" ht="15" hidden="false" customHeight="true" outlineLevel="0" collapsed="false">
      <c r="B2" s="3" t="s">
        <v>39</v>
      </c>
      <c r="C2" s="3"/>
      <c r="D2" s="3"/>
      <c r="E2" s="3"/>
    </row>
    <row r="4" customFormat="false" ht="15" hidden="false" customHeight="true" outlineLevel="0" collapsed="false">
      <c r="B4" s="4" t="s">
        <v>40</v>
      </c>
      <c r="C4" s="4"/>
      <c r="D4" s="4"/>
      <c r="E4" s="4"/>
    </row>
    <row r="5" customFormat="false" ht="15" hidden="false" customHeight="true" outlineLevel="0" collapsed="false">
      <c r="B5" s="14" t="s">
        <v>41</v>
      </c>
      <c r="C5" s="14" t="s">
        <v>42</v>
      </c>
      <c r="D5" s="14" t="s">
        <v>43</v>
      </c>
      <c r="E5" s="14" t="s">
        <v>44</v>
      </c>
    </row>
    <row r="6" customFormat="false" ht="15" hidden="false" customHeight="true" outlineLevel="0" collapsed="false">
      <c r="B6" s="6" t="s">
        <v>45</v>
      </c>
      <c r="C6" s="18" t="n">
        <f aca="false">ROUND(Assumptions!C14*Assumptions!C24,0)</f>
        <v>4</v>
      </c>
      <c r="D6" s="18" t="n">
        <f aca="false">ROUND(Assumptions!C14*Assumptions!D24,0)</f>
        <v>6</v>
      </c>
      <c r="E6" s="18" t="n">
        <f aca="false">ROUND(Assumptions!C14*Assumptions!E24,0)</f>
        <v>8</v>
      </c>
    </row>
    <row r="7" customFormat="false" ht="15" hidden="false" customHeight="true" outlineLevel="0" collapsed="false">
      <c r="B7" s="6" t="s">
        <v>46</v>
      </c>
      <c r="C7" s="19" t="n">
        <f aca="false">Assumptions!C6</f>
        <v>500</v>
      </c>
      <c r="D7" s="19" t="n">
        <f aca="false">Assumptions!C6</f>
        <v>500</v>
      </c>
      <c r="E7" s="19" t="n">
        <f aca="false">Assumptions!C6</f>
        <v>500</v>
      </c>
    </row>
    <row r="8" customFormat="false" ht="15" hidden="false" customHeight="true" outlineLevel="0" collapsed="false">
      <c r="B8" s="6" t="s">
        <v>47</v>
      </c>
      <c r="C8" s="18" t="n">
        <f aca="false">Assumptions!C21</f>
        <v>3</v>
      </c>
      <c r="D8" s="18" t="n">
        <f aca="false">Assumptions!D21</f>
        <v>6</v>
      </c>
      <c r="E8" s="18" t="n">
        <f aca="false">Assumptions!E21</f>
        <v>10</v>
      </c>
    </row>
    <row r="9" customFormat="false" ht="15" hidden="false" customHeight="true" outlineLevel="0" collapsed="false">
      <c r="B9" s="6" t="s">
        <v>48</v>
      </c>
      <c r="C9" s="18" t="n">
        <f aca="false">Assumptions!C22</f>
        <v>8</v>
      </c>
      <c r="D9" s="18" t="n">
        <f aca="false">Assumptions!D22</f>
        <v>10</v>
      </c>
      <c r="E9" s="18" t="n">
        <f aca="false">Assumptions!E22</f>
        <v>11</v>
      </c>
    </row>
    <row r="10" customFormat="false" ht="15" hidden="false" customHeight="true" outlineLevel="0" collapsed="false">
      <c r="B10" s="6" t="s">
        <v>49</v>
      </c>
      <c r="C10" s="18" t="n">
        <f aca="false">C8*C9</f>
        <v>24</v>
      </c>
      <c r="D10" s="18" t="n">
        <f aca="false">D8*D9</f>
        <v>60</v>
      </c>
      <c r="E10" s="18" t="n">
        <f aca="false">E8*E9</f>
        <v>110</v>
      </c>
    </row>
    <row r="11" customFormat="false" ht="15" hidden="false" customHeight="true" outlineLevel="0" collapsed="false">
      <c r="B11" s="6" t="s">
        <v>50</v>
      </c>
      <c r="C11" s="19" t="n">
        <f aca="false">C7*C10</f>
        <v>12000</v>
      </c>
      <c r="D11" s="19" t="n">
        <f aca="false">D7*D10</f>
        <v>30000</v>
      </c>
      <c r="E11" s="19" t="n">
        <f aca="false">E7*E10</f>
        <v>55000</v>
      </c>
    </row>
    <row r="13" customFormat="false" ht="15" hidden="false" customHeight="true" outlineLevel="0" collapsed="false">
      <c r="B13" s="4" t="s">
        <v>51</v>
      </c>
      <c r="C13" s="4"/>
      <c r="D13" s="4"/>
      <c r="E13" s="4"/>
    </row>
    <row r="14" customFormat="false" ht="15" hidden="false" customHeight="true" outlineLevel="0" collapsed="false">
      <c r="B14" s="14" t="s">
        <v>41</v>
      </c>
      <c r="C14" s="14" t="s">
        <v>42</v>
      </c>
      <c r="D14" s="14" t="s">
        <v>43</v>
      </c>
      <c r="E14" s="14" t="s">
        <v>44</v>
      </c>
    </row>
    <row r="15" customFormat="false" ht="15" hidden="false" customHeight="true" outlineLevel="0" collapsed="false">
      <c r="B15" s="6" t="s">
        <v>52</v>
      </c>
      <c r="C15" s="20" t="n">
        <f aca="false">Assumptions!C20</f>
        <v>2</v>
      </c>
      <c r="D15" s="20" t="n">
        <f aca="false">Assumptions!D20</f>
        <v>2.5</v>
      </c>
      <c r="E15" s="20" t="n">
        <f aca="false">Assumptions!E20</f>
        <v>3</v>
      </c>
    </row>
    <row r="16" customFormat="false" ht="15" hidden="false" customHeight="true" outlineLevel="0" collapsed="false">
      <c r="B16" s="6" t="s">
        <v>53</v>
      </c>
      <c r="C16" s="21" t="n">
        <f aca="false">Assumptions!C19</f>
        <v>0.52</v>
      </c>
      <c r="D16" s="21" t="n">
        <f aca="false">Assumptions!D19</f>
        <v>0.55</v>
      </c>
      <c r="E16" s="21" t="n">
        <f aca="false">Assumptions!E19</f>
        <v>0.6</v>
      </c>
    </row>
    <row r="17" customFormat="false" ht="15" hidden="false" customHeight="true" outlineLevel="0" collapsed="false">
      <c r="B17" s="6" t="s">
        <v>54</v>
      </c>
      <c r="C17" s="21" t="n">
        <f aca="false">(C15*C16)-1</f>
        <v>0.04</v>
      </c>
      <c r="D17" s="21" t="n">
        <f aca="false">(D15*D16)-1</f>
        <v>0.375</v>
      </c>
      <c r="E17" s="21" t="n">
        <f aca="false">(E15*E16)-1</f>
        <v>0.8</v>
      </c>
    </row>
    <row r="18" customFormat="false" ht="15" hidden="false" customHeight="true" outlineLevel="0" collapsed="false">
      <c r="B18" s="6" t="s">
        <v>55</v>
      </c>
      <c r="C18" s="21" t="n">
        <f aca="false">Assumptions!C23</f>
        <v>0.0476</v>
      </c>
      <c r="D18" s="21" t="n">
        <f aca="false">Assumptions!D23</f>
        <v>0.0476</v>
      </c>
      <c r="E18" s="21" t="n">
        <f aca="false">Assumptions!E23</f>
        <v>0.0476</v>
      </c>
    </row>
    <row r="19" customFormat="false" ht="15" hidden="false" customHeight="true" outlineLevel="0" collapsed="false">
      <c r="B19" s="6" t="s">
        <v>56</v>
      </c>
      <c r="C19" s="21" t="n">
        <f aca="false">C17-C18</f>
        <v>-0.00759999999999997</v>
      </c>
      <c r="D19" s="21" t="n">
        <f aca="false">D17-D18</f>
        <v>0.3274</v>
      </c>
      <c r="E19" s="21" t="n">
        <f aca="false">E17-E18</f>
        <v>0.7524</v>
      </c>
    </row>
    <row r="20" customFormat="false" ht="15" hidden="false" customHeight="true" outlineLevel="0" collapsed="false">
      <c r="B20" s="6" t="s">
        <v>57</v>
      </c>
      <c r="C20" s="19" t="n">
        <f aca="false">C10*C16*C7*C15</f>
        <v>12480</v>
      </c>
      <c r="D20" s="19" t="n">
        <f aca="false">D10*D16*D7*D15</f>
        <v>41250</v>
      </c>
      <c r="E20" s="19" t="n">
        <f aca="false">E10*E16*E7*E15</f>
        <v>99000</v>
      </c>
    </row>
    <row r="21" customFormat="false" ht="15" hidden="false" customHeight="true" outlineLevel="0" collapsed="false">
      <c r="B21" s="6" t="s">
        <v>58</v>
      </c>
      <c r="C21" s="19" t="n">
        <f aca="false">C11</f>
        <v>12000</v>
      </c>
      <c r="D21" s="19" t="n">
        <f aca="false">D11</f>
        <v>30000</v>
      </c>
      <c r="E21" s="19" t="n">
        <f aca="false">E11</f>
        <v>55000</v>
      </c>
    </row>
    <row r="22" customFormat="false" ht="15" hidden="false" customHeight="true" outlineLevel="0" collapsed="false">
      <c r="B22" s="22" t="s">
        <v>59</v>
      </c>
      <c r="C22" s="23" t="n">
        <f aca="false">C20-C21</f>
        <v>480</v>
      </c>
      <c r="D22" s="23" t="n">
        <f aca="false">D20-D21</f>
        <v>11250</v>
      </c>
      <c r="E22" s="23" t="n">
        <f aca="false">E20-E21</f>
        <v>44000</v>
      </c>
    </row>
    <row r="23" customFormat="false" ht="15" hidden="false" customHeight="true" outlineLevel="0" collapsed="false">
      <c r="B23" s="24" t="s">
        <v>60</v>
      </c>
      <c r="C23" s="25" t="n">
        <f aca="false">IFERROR(C22/C21,0)</f>
        <v>0.04</v>
      </c>
      <c r="D23" s="25" t="n">
        <f aca="false">IFERROR(D22/D21,0)</f>
        <v>0.375</v>
      </c>
      <c r="E23" s="25" t="n">
        <f aca="false">IFERROR(E22/E21,0)</f>
        <v>0.8</v>
      </c>
    </row>
    <row r="25" customFormat="false" ht="15" hidden="false" customHeight="true" outlineLevel="0" collapsed="false">
      <c r="B25" s="4" t="s">
        <v>61</v>
      </c>
      <c r="C25" s="4"/>
      <c r="D25" s="4"/>
      <c r="E25" s="4"/>
    </row>
    <row r="26" customFormat="false" ht="15" hidden="false" customHeight="true" outlineLevel="0" collapsed="false">
      <c r="B26" s="14" t="s">
        <v>62</v>
      </c>
      <c r="C26" s="14" t="s">
        <v>63</v>
      </c>
      <c r="D26" s="14" t="s">
        <v>64</v>
      </c>
      <c r="E26" s="14" t="s">
        <v>65</v>
      </c>
    </row>
    <row r="27" customFormat="false" ht="15" hidden="false" customHeight="true" outlineLevel="0" collapsed="false">
      <c r="B27" s="6" t="s">
        <v>66</v>
      </c>
      <c r="C27" s="26" t="n">
        <f aca="false">D21*1</f>
        <v>30000</v>
      </c>
      <c r="D27" s="27" t="n">
        <f aca="false">D22*1</f>
        <v>11250</v>
      </c>
      <c r="E27" s="28" t="n">
        <f aca="false">IFERROR(D27/C27,0)</f>
        <v>0.375</v>
      </c>
    </row>
    <row r="28" customFormat="false" ht="15" hidden="false" customHeight="true" outlineLevel="0" collapsed="false">
      <c r="B28" s="6" t="s">
        <v>67</v>
      </c>
      <c r="C28" s="26" t="n">
        <f aca="false">D21*2</f>
        <v>60000</v>
      </c>
      <c r="D28" s="27" t="n">
        <f aca="false">D22*2</f>
        <v>22500</v>
      </c>
      <c r="E28" s="28" t="n">
        <f aca="false">IFERROR(D28/C28,0)</f>
        <v>0.375</v>
      </c>
    </row>
    <row r="29" customFormat="false" ht="15" hidden="false" customHeight="true" outlineLevel="0" collapsed="false">
      <c r="B29" s="6" t="s">
        <v>68</v>
      </c>
      <c r="C29" s="26" t="n">
        <f aca="false">D21*3</f>
        <v>90000</v>
      </c>
      <c r="D29" s="27" t="n">
        <f aca="false">D22*3</f>
        <v>33750</v>
      </c>
      <c r="E29" s="28" t="n">
        <f aca="false">IFERROR(D29/C29,0)</f>
        <v>0.375</v>
      </c>
    </row>
    <row r="30" customFormat="false" ht="15" hidden="false" customHeight="true" outlineLevel="0" collapsed="false">
      <c r="B30" s="6" t="s">
        <v>69</v>
      </c>
      <c r="C30" s="26" t="n">
        <f aca="false">D21*4</f>
        <v>120000</v>
      </c>
      <c r="D30" s="27" t="n">
        <f aca="false">D22*4</f>
        <v>45000</v>
      </c>
      <c r="E30" s="28" t="n">
        <f aca="false">IFERROR(D30/C30,0)</f>
        <v>0.375</v>
      </c>
    </row>
    <row r="31" customFormat="false" ht="15" hidden="false" customHeight="true" outlineLevel="0" collapsed="false">
      <c r="B31" s="6" t="s">
        <v>70</v>
      </c>
      <c r="C31" s="26" t="n">
        <f aca="false">D21*5</f>
        <v>150000</v>
      </c>
      <c r="D31" s="27" t="n">
        <f aca="false">D22*5</f>
        <v>56250</v>
      </c>
      <c r="E31" s="28" t="n">
        <f aca="false">IFERROR(D31/C31,0)</f>
        <v>0.375</v>
      </c>
    </row>
    <row r="33" customFormat="false" ht="15" hidden="false" customHeight="true" outlineLevel="0" collapsed="false">
      <c r="B33" s="29" t="s">
        <v>71</v>
      </c>
      <c r="C33" s="29"/>
      <c r="D33" s="29"/>
      <c r="E33" s="29"/>
    </row>
    <row r="34" customFormat="false" ht="15" hidden="false" customHeight="true" outlineLevel="0" collapsed="false">
      <c r="B34" s="30" t="s">
        <v>72</v>
      </c>
      <c r="C34" s="30"/>
      <c r="D34" s="30"/>
      <c r="E34" s="30"/>
    </row>
    <row r="35" customFormat="false" ht="15" hidden="false" customHeight="true" outlineLevel="0" collapsed="false">
      <c r="B35" s="30" t="s">
        <v>73</v>
      </c>
      <c r="C35" s="30"/>
      <c r="D35" s="30"/>
      <c r="E35" s="30"/>
    </row>
    <row r="36" customFormat="false" ht="15" hidden="false" customHeight="true" outlineLevel="0" collapsed="false">
      <c r="B36" s="30" t="s">
        <v>74</v>
      </c>
      <c r="C36" s="30"/>
      <c r="D36" s="30"/>
      <c r="E36" s="30"/>
    </row>
    <row r="37" customFormat="false" ht="15" hidden="false" customHeight="true" outlineLevel="0" collapsed="false">
      <c r="B37" s="30" t="s">
        <v>75</v>
      </c>
      <c r="C37" s="30"/>
      <c r="D37" s="30"/>
      <c r="E37" s="30"/>
    </row>
    <row r="38" customFormat="false" ht="15" hidden="false" customHeight="true" outlineLevel="0" collapsed="false">
      <c r="B38" s="30" t="s">
        <v>76</v>
      </c>
      <c r="C38" s="30"/>
      <c r="D38" s="30"/>
      <c r="E38" s="30"/>
    </row>
    <row r="39" customFormat="false" ht="15" hidden="false" customHeight="true" outlineLevel="0" collapsed="false">
      <c r="B39" s="30" t="s">
        <v>77</v>
      </c>
      <c r="C39" s="30"/>
      <c r="D39" s="30"/>
      <c r="E39" s="30"/>
    </row>
    <row r="40" customFormat="false" ht="15" hidden="false" customHeight="true" outlineLevel="0" collapsed="false">
      <c r="B40" s="30" t="s">
        <v>78</v>
      </c>
      <c r="C40" s="30"/>
      <c r="D40" s="30"/>
      <c r="E40" s="30"/>
    </row>
    <row r="42" customFormat="false" ht="15" hidden="false" customHeight="true" outlineLevel="0" collapsed="false">
      <c r="B42" s="4" t="s">
        <v>79</v>
      </c>
      <c r="C42" s="4"/>
      <c r="D42" s="4"/>
      <c r="E42" s="4"/>
    </row>
    <row r="43" customFormat="false" ht="15" hidden="false" customHeight="true" outlineLevel="0" collapsed="false">
      <c r="B43" s="14" t="s">
        <v>80</v>
      </c>
      <c r="C43" s="14" t="s">
        <v>81</v>
      </c>
      <c r="D43" s="14" t="s">
        <v>82</v>
      </c>
      <c r="E43" s="14" t="s">
        <v>83</v>
      </c>
    </row>
    <row r="44" customFormat="false" ht="15" hidden="false" customHeight="true" outlineLevel="0" collapsed="false">
      <c r="B44" s="31" t="n">
        <v>1.91</v>
      </c>
      <c r="C44" s="28" t="n">
        <f aca="false">(1/B44)*(1+Assumptions!C23)</f>
        <v>0.54848167539267</v>
      </c>
      <c r="D44" s="28" t="n">
        <f aca="false">0.55-C44</f>
        <v>0.00151832460732981</v>
      </c>
      <c r="E44" s="27" t="n">
        <f aca="false">(0.55*B44*500*60)-(500*60)</f>
        <v>1515</v>
      </c>
    </row>
    <row r="45" customFormat="false" ht="15" hidden="false" customHeight="true" outlineLevel="0" collapsed="false">
      <c r="B45" s="31" t="n">
        <v>2</v>
      </c>
      <c r="C45" s="28" t="n">
        <f aca="false">(1/B45)*(1+Assumptions!C23)</f>
        <v>0.5238</v>
      </c>
      <c r="D45" s="28" t="n">
        <f aca="false">0.55-C45</f>
        <v>0.0262</v>
      </c>
      <c r="E45" s="27" t="n">
        <f aca="false">(0.55*B45*500*60)-(500*60)</f>
        <v>3000</v>
      </c>
    </row>
    <row r="46" customFormat="false" ht="15" hidden="false" customHeight="true" outlineLevel="0" collapsed="false">
      <c r="B46" s="31" t="n">
        <v>2.5</v>
      </c>
      <c r="C46" s="28" t="n">
        <f aca="false">(1/B46)*(1+Assumptions!C23)</f>
        <v>0.41904</v>
      </c>
      <c r="D46" s="28" t="n">
        <f aca="false">0.55-C46</f>
        <v>0.13096</v>
      </c>
      <c r="E46" s="27" t="n">
        <f aca="false">(0.55*B46*500*60)-(500*60)</f>
        <v>11250</v>
      </c>
    </row>
    <row r="47" customFormat="false" ht="15" hidden="false" customHeight="true" outlineLevel="0" collapsed="false">
      <c r="B47" s="31" t="n">
        <v>3</v>
      </c>
      <c r="C47" s="28" t="n">
        <f aca="false">(1/B47)*(1+Assumptions!C23)</f>
        <v>0.3492</v>
      </c>
      <c r="D47" s="28" t="n">
        <f aca="false">0.55-C47</f>
        <v>0.2008</v>
      </c>
      <c r="E47" s="27" t="n">
        <f aca="false">(0.55*B47*500*60)-(500*60)</f>
        <v>19500</v>
      </c>
    </row>
    <row r="48" customFormat="false" ht="15" hidden="false" customHeight="true" outlineLevel="0" collapsed="false">
      <c r="B48" s="31" t="n">
        <v>4</v>
      </c>
      <c r="C48" s="28" t="n">
        <f aca="false">(1/B48)*(1+Assumptions!C23)</f>
        <v>0.2619</v>
      </c>
      <c r="D48" s="28" t="n">
        <f aca="false">0.55-C48</f>
        <v>0.2881</v>
      </c>
      <c r="E48" s="27" t="n">
        <f aca="false">(0.55*B48*500*60)-(500*60)</f>
        <v>36000</v>
      </c>
    </row>
    <row r="49" customFormat="false" ht="15" hidden="false" customHeight="true" outlineLevel="0" collapsed="false">
      <c r="B49" s="31" t="n">
        <v>5</v>
      </c>
      <c r="C49" s="28" t="n">
        <f aca="false">(1/B49)*(1+Assumptions!C23)</f>
        <v>0.20952</v>
      </c>
      <c r="D49" s="28" t="n">
        <f aca="false">0.55-C49</f>
        <v>0.34048</v>
      </c>
      <c r="E49" s="27" t="n">
        <f aca="false">(0.55*B49*500*60)-(500*60)</f>
        <v>52500</v>
      </c>
    </row>
  </sheetData>
  <mergeCells count="14">
    <mergeCell ref="B1:E1"/>
    <mergeCell ref="B2:E2"/>
    <mergeCell ref="B4:E4"/>
    <mergeCell ref="B13:E13"/>
    <mergeCell ref="B25:E25"/>
    <mergeCell ref="B33:E33"/>
    <mergeCell ref="B34:E34"/>
    <mergeCell ref="B35:E35"/>
    <mergeCell ref="B36:E36"/>
    <mergeCell ref="B37:E37"/>
    <mergeCell ref="B38:E38"/>
    <mergeCell ref="B39:E39"/>
    <mergeCell ref="B40:E40"/>
    <mergeCell ref="B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B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7" min="4" style="1" width="14"/>
    <col collapsed="false" customWidth="true" hidden="false" outlineLevel="0" max="8" min="8" style="1" width="2"/>
  </cols>
  <sheetData>
    <row r="1" customFormat="false" ht="17.25" hidden="false" customHeight="true" outlineLevel="0" collapsed="false">
      <c r="B1" s="2" t="s">
        <v>84</v>
      </c>
      <c r="C1" s="2"/>
      <c r="D1" s="2"/>
      <c r="E1" s="2"/>
      <c r="F1" s="2"/>
      <c r="G1" s="2"/>
    </row>
    <row r="3" customFormat="false" ht="15" hidden="false" customHeight="true" outlineLevel="0" collapsed="false">
      <c r="B3" s="4" t="s">
        <v>85</v>
      </c>
      <c r="C3" s="4"/>
      <c r="D3" s="4"/>
      <c r="E3" s="4"/>
      <c r="F3" s="4"/>
      <c r="G3" s="4"/>
    </row>
    <row r="4" customFormat="false" ht="15" hidden="false" customHeight="true" outlineLevel="0" collapsed="false">
      <c r="B4" s="14" t="s">
        <v>86</v>
      </c>
      <c r="C4" s="14" t="s">
        <v>87</v>
      </c>
      <c r="D4" s="14" t="s">
        <v>88</v>
      </c>
      <c r="E4" s="14" t="s">
        <v>89</v>
      </c>
      <c r="F4" s="14" t="s">
        <v>90</v>
      </c>
      <c r="G4" s="14" t="s">
        <v>91</v>
      </c>
    </row>
    <row r="5" customFormat="false" ht="15" hidden="false" customHeight="true" outlineLevel="0" collapsed="false">
      <c r="B5" s="6" t="s">
        <v>92</v>
      </c>
      <c r="C5" s="32" t="n">
        <v>427</v>
      </c>
      <c r="D5" s="33" t="n">
        <f aca="false">(C5/100)+1</f>
        <v>5.27</v>
      </c>
      <c r="E5" s="28" t="n">
        <f aca="false">1/D5</f>
        <v>0.189753320683112</v>
      </c>
      <c r="F5" s="26" t="n">
        <f aca="false">D5*500</f>
        <v>2635</v>
      </c>
      <c r="G5" s="34" t="n">
        <f aca="false">F5-500</f>
        <v>2135</v>
      </c>
    </row>
    <row r="6" customFormat="false" ht="15" hidden="false" customHeight="true" outlineLevel="0" collapsed="false">
      <c r="B6" s="6" t="s">
        <v>93</v>
      </c>
      <c r="C6" s="32" t="n">
        <v>546</v>
      </c>
      <c r="D6" s="33" t="n">
        <f aca="false">(C6/100)+1</f>
        <v>6.46</v>
      </c>
      <c r="E6" s="28" t="n">
        <f aca="false">1/D6</f>
        <v>0.154798761609907</v>
      </c>
      <c r="F6" s="26" t="n">
        <f aca="false">D6*500</f>
        <v>3230</v>
      </c>
      <c r="G6" s="34" t="n">
        <f aca="false">F6-500</f>
        <v>2730</v>
      </c>
    </row>
    <row r="7" customFormat="false" ht="15" hidden="false" customHeight="true" outlineLevel="0" collapsed="false">
      <c r="B7" s="6" t="s">
        <v>94</v>
      </c>
      <c r="C7" s="32" t="n">
        <v>611</v>
      </c>
      <c r="D7" s="33" t="n">
        <f aca="false">(C7/100)+1</f>
        <v>7.11</v>
      </c>
      <c r="E7" s="28" t="n">
        <f aca="false">1/D7</f>
        <v>0.140646976090014</v>
      </c>
      <c r="F7" s="26" t="n">
        <f aca="false">D7*500</f>
        <v>3555</v>
      </c>
      <c r="G7" s="34" t="n">
        <f aca="false">F7-500</f>
        <v>3055</v>
      </c>
    </row>
    <row r="8" customFormat="false" ht="15" hidden="false" customHeight="true" outlineLevel="0" collapsed="false">
      <c r="B8" s="6" t="s">
        <v>95</v>
      </c>
      <c r="C8" s="32" t="n">
        <v>911</v>
      </c>
      <c r="D8" s="33" t="n">
        <f aca="false">(C8/100)+1</f>
        <v>10.11</v>
      </c>
      <c r="E8" s="28" t="n">
        <f aca="false">1/D8</f>
        <v>0.0989119683481701</v>
      </c>
      <c r="F8" s="26" t="n">
        <f aca="false">D8*500</f>
        <v>5055</v>
      </c>
      <c r="G8" s="34" t="n">
        <f aca="false">F8-500</f>
        <v>4555</v>
      </c>
    </row>
    <row r="9" customFormat="false" ht="15" hidden="false" customHeight="true" outlineLevel="0" collapsed="false">
      <c r="B9" s="6" t="s">
        <v>96</v>
      </c>
      <c r="C9" s="32" t="n">
        <v>1182</v>
      </c>
      <c r="D9" s="33" t="n">
        <f aca="false">(C9/100)+1</f>
        <v>12.82</v>
      </c>
      <c r="E9" s="28" t="n">
        <f aca="false">1/D9</f>
        <v>0.078003120124805</v>
      </c>
      <c r="F9" s="26" t="n">
        <f aca="false">D9*500</f>
        <v>6410</v>
      </c>
      <c r="G9" s="34" t="n">
        <f aca="false">F9-500</f>
        <v>5910</v>
      </c>
    </row>
    <row r="10" customFormat="false" ht="15" hidden="false" customHeight="true" outlineLevel="0" collapsed="false">
      <c r="B10" s="6" t="s">
        <v>97</v>
      </c>
      <c r="C10" s="32" t="n">
        <v>1240</v>
      </c>
      <c r="D10" s="33" t="n">
        <f aca="false">(C10/100)+1</f>
        <v>13.4</v>
      </c>
      <c r="E10" s="28" t="n">
        <f aca="false">1/D10</f>
        <v>0.0746268656716418</v>
      </c>
      <c r="F10" s="26" t="n">
        <f aca="false">D10*500</f>
        <v>6700</v>
      </c>
      <c r="G10" s="34" t="n">
        <f aca="false">F10-500</f>
        <v>6200</v>
      </c>
    </row>
    <row r="13" customFormat="false" ht="15" hidden="false" customHeight="true" outlineLevel="0" collapsed="false">
      <c r="B13" s="4" t="s">
        <v>98</v>
      </c>
      <c r="C13" s="4"/>
      <c r="D13" s="4"/>
      <c r="E13" s="4"/>
      <c r="F13" s="4"/>
      <c r="G13" s="4"/>
    </row>
    <row r="14" customFormat="false" ht="15" hidden="false" customHeight="true" outlineLevel="0" collapsed="false">
      <c r="B14" s="14" t="s">
        <v>86</v>
      </c>
      <c r="C14" s="14" t="s">
        <v>87</v>
      </c>
      <c r="D14" s="14" t="s">
        <v>88</v>
      </c>
      <c r="E14" s="14" t="s">
        <v>89</v>
      </c>
      <c r="F14" s="14" t="s">
        <v>90</v>
      </c>
      <c r="G14" s="14" t="s">
        <v>91</v>
      </c>
    </row>
    <row r="15" customFormat="false" ht="15" hidden="false" customHeight="true" outlineLevel="0" collapsed="false">
      <c r="B15" s="6" t="s">
        <v>93</v>
      </c>
      <c r="C15" s="32" t="n">
        <v>544</v>
      </c>
      <c r="D15" s="33" t="n">
        <f aca="false">(C15/100)+1</f>
        <v>6.44</v>
      </c>
      <c r="E15" s="28" t="n">
        <f aca="false">1/D15</f>
        <v>0.15527950310559</v>
      </c>
      <c r="F15" s="26" t="n">
        <f aca="false">D15*500</f>
        <v>3220</v>
      </c>
      <c r="G15" s="34" t="n">
        <f aca="false">F15-500</f>
        <v>2720</v>
      </c>
    </row>
    <row r="16" customFormat="false" ht="15" hidden="false" customHeight="true" outlineLevel="0" collapsed="false">
      <c r="B16" s="6" t="s">
        <v>99</v>
      </c>
      <c r="C16" s="32" t="n">
        <v>730</v>
      </c>
      <c r="D16" s="33" t="n">
        <f aca="false">(C16/100)+1</f>
        <v>8.3</v>
      </c>
      <c r="E16" s="28" t="n">
        <f aca="false">1/D16</f>
        <v>0.120481927710843</v>
      </c>
      <c r="F16" s="26" t="n">
        <f aca="false">D16*500</f>
        <v>4150</v>
      </c>
      <c r="G16" s="34" t="n">
        <f aca="false">F16-500</f>
        <v>3650</v>
      </c>
    </row>
    <row r="17" customFormat="false" ht="15" hidden="false" customHeight="true" outlineLevel="0" collapsed="false">
      <c r="B17" s="6" t="s">
        <v>95</v>
      </c>
      <c r="C17" s="32" t="n">
        <v>845</v>
      </c>
      <c r="D17" s="33" t="n">
        <f aca="false">(C17/100)+1</f>
        <v>9.45</v>
      </c>
      <c r="E17" s="28" t="n">
        <f aca="false">1/D17</f>
        <v>0.105820105820106</v>
      </c>
      <c r="F17" s="26" t="n">
        <f aca="false">D17*500</f>
        <v>4725</v>
      </c>
      <c r="G17" s="34" t="n">
        <f aca="false">F17-500</f>
        <v>4225</v>
      </c>
    </row>
    <row r="18" customFormat="false" ht="15" hidden="false" customHeight="true" outlineLevel="0" collapsed="false">
      <c r="B18" s="6" t="s">
        <v>96</v>
      </c>
      <c r="C18" s="32" t="n">
        <v>918</v>
      </c>
      <c r="D18" s="33" t="n">
        <f aca="false">(C18/100)+1</f>
        <v>10.18</v>
      </c>
      <c r="E18" s="28" t="n">
        <f aca="false">1/D18</f>
        <v>0.0982318271119843</v>
      </c>
      <c r="F18" s="26" t="n">
        <f aca="false">D18*500</f>
        <v>5090</v>
      </c>
      <c r="G18" s="34" t="n">
        <f aca="false">F18-500</f>
        <v>4590</v>
      </c>
    </row>
    <row r="19" customFormat="false" ht="15" hidden="false" customHeight="true" outlineLevel="0" collapsed="false">
      <c r="B19" s="6" t="s">
        <v>97</v>
      </c>
      <c r="C19" s="32" t="n">
        <v>942</v>
      </c>
      <c r="D19" s="33" t="n">
        <f aca="false">(C19/100)+1</f>
        <v>10.42</v>
      </c>
      <c r="E19" s="28" t="n">
        <f aca="false">1/D19</f>
        <v>0.0959692898272553</v>
      </c>
      <c r="F19" s="26" t="n">
        <f aca="false">D19*500</f>
        <v>5210</v>
      </c>
      <c r="G19" s="34" t="n">
        <f aca="false">F19-500</f>
        <v>4710</v>
      </c>
    </row>
    <row r="20" customFormat="false" ht="15" hidden="false" customHeight="true" outlineLevel="0" collapsed="false">
      <c r="B20" s="6" t="s">
        <v>100</v>
      </c>
      <c r="C20" s="32" t="n">
        <v>1477</v>
      </c>
      <c r="D20" s="33" t="n">
        <f aca="false">(C20/100)+1</f>
        <v>15.77</v>
      </c>
      <c r="E20" s="28" t="n">
        <f aca="false">1/D20</f>
        <v>0.0634115409004439</v>
      </c>
      <c r="F20" s="26" t="n">
        <f aca="false">D20*500</f>
        <v>7885</v>
      </c>
      <c r="G20" s="34" t="n">
        <f aca="false">F20-500</f>
        <v>7385</v>
      </c>
    </row>
    <row r="22" customFormat="false" ht="15" hidden="false" customHeight="true" outlineLevel="0" collapsed="false">
      <c r="B22" s="35" t="s">
        <v>101</v>
      </c>
      <c r="C22" s="35"/>
      <c r="D22" s="35"/>
      <c r="E22" s="35"/>
      <c r="F22" s="35"/>
      <c r="G22" s="35"/>
    </row>
    <row r="23" customFormat="false" ht="15" hidden="false" customHeight="true" outlineLevel="0" collapsed="false">
      <c r="B23" s="36" t="s">
        <v>102</v>
      </c>
      <c r="C23" s="36"/>
      <c r="D23" s="36"/>
      <c r="E23" s="36"/>
      <c r="F23" s="36"/>
      <c r="G23" s="36"/>
    </row>
  </sheetData>
  <mergeCells count="5">
    <mergeCell ref="B1:G1"/>
    <mergeCell ref="B3:G3"/>
    <mergeCell ref="B13:G13"/>
    <mergeCell ref="B22:G22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8"/>
    <col collapsed="false" customWidth="true" hidden="false" outlineLevel="0" max="8" min="8" style="0" width="2"/>
  </cols>
  <sheetData>
    <row r="1" customFormat="false" ht="17.35" hidden="false" customHeight="false" outlineLevel="0" collapsed="false">
      <c r="B1" s="37" t="s">
        <v>103</v>
      </c>
      <c r="C1" s="37"/>
      <c r="D1" s="37"/>
      <c r="E1" s="37"/>
      <c r="F1" s="37"/>
      <c r="G1" s="37"/>
    </row>
    <row r="2" customFormat="false" ht="15" hidden="false" customHeight="false" outlineLevel="0" collapsed="false">
      <c r="B2" s="38" t="s">
        <v>104</v>
      </c>
      <c r="C2" s="38"/>
      <c r="D2" s="38"/>
      <c r="E2" s="38"/>
      <c r="F2" s="38"/>
      <c r="G2" s="38"/>
    </row>
    <row r="4" customFormat="false" ht="15" hidden="false" customHeight="false" outlineLevel="0" collapsed="false">
      <c r="B4" s="39" t="s">
        <v>105</v>
      </c>
      <c r="C4" s="39"/>
      <c r="D4" s="39"/>
      <c r="E4" s="39"/>
      <c r="F4" s="39"/>
      <c r="G4" s="39"/>
    </row>
    <row r="5" customFormat="false" ht="15" hidden="false" customHeight="false" outlineLevel="0" collapsed="false">
      <c r="B5" s="5" t="s">
        <v>27</v>
      </c>
      <c r="C5" s="5" t="s">
        <v>106</v>
      </c>
      <c r="D5" s="5"/>
      <c r="E5" s="5"/>
    </row>
    <row r="6" customFormat="false" ht="15" hidden="false" customHeight="false" outlineLevel="0" collapsed="false">
      <c r="B6" s="40" t="s">
        <v>107</v>
      </c>
      <c r="C6" s="41" t="n">
        <v>1000</v>
      </c>
    </row>
    <row r="7" customFormat="false" ht="15" hidden="false" customHeight="false" outlineLevel="0" collapsed="false">
      <c r="B7" s="40" t="s">
        <v>108</v>
      </c>
      <c r="C7" s="17" t="n">
        <v>8</v>
      </c>
    </row>
    <row r="8" customFormat="false" ht="15" hidden="false" customHeight="false" outlineLevel="0" collapsed="false">
      <c r="B8" s="40" t="s">
        <v>109</v>
      </c>
      <c r="C8" s="42" t="n">
        <f aca="false">C6*C7</f>
        <v>8000</v>
      </c>
    </row>
    <row r="9" customFormat="false" ht="15" hidden="false" customHeight="false" outlineLevel="0" collapsed="false">
      <c r="B9" s="40" t="s">
        <v>110</v>
      </c>
      <c r="C9" s="17" t="n">
        <v>2</v>
      </c>
    </row>
    <row r="10" customFormat="false" ht="15" hidden="false" customHeight="false" outlineLevel="0" collapsed="false">
      <c r="B10" s="40" t="s">
        <v>111</v>
      </c>
      <c r="C10" s="17" t="n">
        <v>11</v>
      </c>
    </row>
    <row r="11" customFormat="false" ht="15" hidden="false" customHeight="false" outlineLevel="0" collapsed="false">
      <c r="B11" s="40" t="s">
        <v>112</v>
      </c>
      <c r="C11" s="18" t="n">
        <f aca="false">C9*C10*C7</f>
        <v>176</v>
      </c>
    </row>
    <row r="12" customFormat="false" ht="15" hidden="false" customHeight="false" outlineLevel="0" collapsed="false">
      <c r="B12" s="40" t="s">
        <v>50</v>
      </c>
      <c r="C12" s="42" t="n">
        <f aca="false">C6*C11</f>
        <v>176000</v>
      </c>
    </row>
    <row r="13" customFormat="false" ht="15" hidden="false" customHeight="false" outlineLevel="0" collapsed="false">
      <c r="B13" s="40" t="s">
        <v>113</v>
      </c>
      <c r="C13" s="15" t="n">
        <v>0.6</v>
      </c>
    </row>
    <row r="14" customFormat="false" ht="15" hidden="false" customHeight="false" outlineLevel="0" collapsed="false">
      <c r="B14" s="40" t="s">
        <v>114</v>
      </c>
      <c r="C14" s="43" t="n">
        <v>2.5</v>
      </c>
    </row>
    <row r="15" customFormat="false" ht="15" hidden="false" customHeight="false" outlineLevel="0" collapsed="false">
      <c r="B15" s="40" t="s">
        <v>115</v>
      </c>
      <c r="C15" s="15" t="n">
        <v>0.0476</v>
      </c>
    </row>
    <row r="17" customFormat="false" ht="15" hidden="false" customHeight="false" outlineLevel="0" collapsed="false">
      <c r="B17" s="39" t="s">
        <v>116</v>
      </c>
      <c r="C17" s="39"/>
      <c r="D17" s="39"/>
      <c r="E17" s="39"/>
      <c r="F17" s="39"/>
      <c r="G17" s="39"/>
    </row>
    <row r="18" customFormat="false" ht="15" hidden="false" customHeight="false" outlineLevel="0" collapsed="false">
      <c r="B18" s="5" t="s">
        <v>117</v>
      </c>
      <c r="C18" s="5" t="s">
        <v>118</v>
      </c>
      <c r="D18" s="5" t="s">
        <v>119</v>
      </c>
      <c r="E18" s="5" t="s">
        <v>120</v>
      </c>
      <c r="F18" s="5" t="s">
        <v>121</v>
      </c>
    </row>
    <row r="19" customFormat="false" ht="15" hidden="false" customHeight="false" outlineLevel="0" collapsed="false">
      <c r="B19" s="44" t="n">
        <v>1.91</v>
      </c>
      <c r="C19" s="42" t="n">
        <f aca="false">C13*B19*C8*(C9*C10)</f>
        <v>201696</v>
      </c>
      <c r="D19" s="42" t="n">
        <f aca="false">C12</f>
        <v>176000</v>
      </c>
      <c r="E19" s="45" t="n">
        <f aca="false">C19-D19</f>
        <v>25696</v>
      </c>
      <c r="F19" s="21" t="n">
        <f aca="false">IFERROR(E19/D19,0)</f>
        <v>0.146</v>
      </c>
    </row>
    <row r="20" customFormat="false" ht="15" hidden="false" customHeight="false" outlineLevel="0" collapsed="false">
      <c r="B20" s="44" t="n">
        <v>2</v>
      </c>
      <c r="C20" s="42" t="n">
        <f aca="false">C13*B20*C8*(C9*C10)</f>
        <v>211200</v>
      </c>
      <c r="D20" s="42" t="n">
        <f aca="false">C12</f>
        <v>176000</v>
      </c>
      <c r="E20" s="45" t="n">
        <f aca="false">C20-D20</f>
        <v>35200</v>
      </c>
      <c r="F20" s="21" t="n">
        <f aca="false">IFERROR(E20/D20,0)</f>
        <v>0.2</v>
      </c>
    </row>
    <row r="21" customFormat="false" ht="15" hidden="false" customHeight="false" outlineLevel="0" collapsed="false">
      <c r="B21" s="44" t="n">
        <v>2.5</v>
      </c>
      <c r="C21" s="42" t="n">
        <f aca="false">C13*B21*C8*(C9*C10)</f>
        <v>264000</v>
      </c>
      <c r="D21" s="42" t="n">
        <f aca="false">C12</f>
        <v>176000</v>
      </c>
      <c r="E21" s="45" t="n">
        <f aca="false">C21-D21</f>
        <v>88000</v>
      </c>
      <c r="F21" s="21" t="n">
        <f aca="false">IFERROR(E21/D21,0)</f>
        <v>0.5</v>
      </c>
    </row>
    <row r="22" customFormat="false" ht="15" hidden="false" customHeight="false" outlineLevel="0" collapsed="false">
      <c r="B22" s="44" t="n">
        <v>3</v>
      </c>
      <c r="C22" s="42" t="n">
        <f aca="false">C13*B22*C8*(C9*C10)</f>
        <v>316800</v>
      </c>
      <c r="D22" s="42" t="n">
        <f aca="false">C12</f>
        <v>176000</v>
      </c>
      <c r="E22" s="45" t="n">
        <f aca="false">C22-D22</f>
        <v>140800</v>
      </c>
      <c r="F22" s="21" t="n">
        <f aca="false">IFERROR(E22/D22,0)</f>
        <v>0.8</v>
      </c>
    </row>
    <row r="23" customFormat="false" ht="15" hidden="false" customHeight="false" outlineLevel="0" collapsed="false">
      <c r="B23" s="44" t="n">
        <v>4</v>
      </c>
      <c r="C23" s="42" t="n">
        <f aca="false">C13*B23*C8*(C9*C10)</f>
        <v>422400</v>
      </c>
      <c r="D23" s="42" t="n">
        <f aca="false">C12</f>
        <v>176000</v>
      </c>
      <c r="E23" s="45" t="n">
        <f aca="false">C23-D23</f>
        <v>246400</v>
      </c>
      <c r="F23" s="21" t="n">
        <f aca="false">IFERROR(E23/D23,0)</f>
        <v>1.4</v>
      </c>
    </row>
    <row r="24" customFormat="false" ht="15" hidden="false" customHeight="false" outlineLevel="0" collapsed="false">
      <c r="B24" s="44" t="n">
        <v>5</v>
      </c>
      <c r="C24" s="42" t="n">
        <f aca="false">C13*B24*C8*(C9*C10)</f>
        <v>528000</v>
      </c>
      <c r="D24" s="42" t="n">
        <f aca="false">C12</f>
        <v>176000</v>
      </c>
      <c r="E24" s="45" t="n">
        <f aca="false">C24-D24</f>
        <v>352000</v>
      </c>
      <c r="F24" s="21" t="n">
        <f aca="false">IFERROR(E24/D24,0)</f>
        <v>2</v>
      </c>
    </row>
    <row r="27" customFormat="false" ht="15" hidden="false" customHeight="false" outlineLevel="0" collapsed="false">
      <c r="B27" s="46" t="s">
        <v>122</v>
      </c>
      <c r="C27" s="46"/>
      <c r="D27" s="46"/>
      <c r="E27" s="46"/>
      <c r="F27" s="46"/>
      <c r="G27" s="46"/>
    </row>
    <row r="28" customFormat="false" ht="15" hidden="false" customHeight="false" outlineLevel="0" collapsed="false">
      <c r="B28" s="40" t="s">
        <v>123</v>
      </c>
      <c r="C28" s="42" t="n">
        <f aca="false">C8</f>
        <v>8000</v>
      </c>
    </row>
    <row r="29" customFormat="false" ht="15" hidden="false" customHeight="false" outlineLevel="0" collapsed="false">
      <c r="B29" s="40" t="s">
        <v>124</v>
      </c>
      <c r="C29" s="18" t="n">
        <f aca="false">C9*C10</f>
        <v>22</v>
      </c>
    </row>
    <row r="30" customFormat="false" ht="15" hidden="false" customHeight="false" outlineLevel="0" collapsed="false">
      <c r="B30" s="40" t="s">
        <v>50</v>
      </c>
      <c r="C30" s="42" t="n">
        <f aca="false">C12</f>
        <v>176000</v>
      </c>
    </row>
    <row r="31" customFormat="false" ht="15" hidden="false" customHeight="false" outlineLevel="0" collapsed="false">
      <c r="B31" s="40" t="s">
        <v>125</v>
      </c>
      <c r="C31" s="47" t="n">
        <f aca="false">C13*C29</f>
        <v>13.2</v>
      </c>
    </row>
    <row r="32" customFormat="false" ht="15" hidden="false" customHeight="false" outlineLevel="0" collapsed="false">
      <c r="B32" s="40" t="s">
        <v>126</v>
      </c>
      <c r="C32" s="47" t="n">
        <f aca="false">C29-C31</f>
        <v>8.8</v>
      </c>
    </row>
    <row r="33" customFormat="false" ht="15" hidden="false" customHeight="false" outlineLevel="0" collapsed="false">
      <c r="B33" s="40" t="s">
        <v>127</v>
      </c>
      <c r="C33" s="42" t="n">
        <f aca="false">C31*C14*C8</f>
        <v>264000</v>
      </c>
    </row>
    <row r="34" customFormat="false" ht="15" hidden="false" customHeight="false" outlineLevel="0" collapsed="false">
      <c r="B34" s="40" t="s">
        <v>128</v>
      </c>
      <c r="C34" s="42" t="n">
        <f aca="false">C30</f>
        <v>176000</v>
      </c>
    </row>
    <row r="35" customFormat="false" ht="17.35" hidden="false" customHeight="false" outlineLevel="0" collapsed="false">
      <c r="B35" s="48" t="s">
        <v>129</v>
      </c>
      <c r="C35" s="49" t="n">
        <f aca="false">C33-C34</f>
        <v>88000</v>
      </c>
    </row>
    <row r="36" customFormat="false" ht="15" hidden="false" customHeight="false" outlineLevel="0" collapsed="false">
      <c r="B36" s="48" t="s">
        <v>121</v>
      </c>
      <c r="C36" s="50" t="n">
        <f aca="false">IFERROR(C35/C34,0)</f>
        <v>0.5</v>
      </c>
    </row>
    <row r="38" customFormat="false" ht="15" hidden="false" customHeight="false" outlineLevel="0" collapsed="false">
      <c r="B38" s="39" t="s">
        <v>130</v>
      </c>
      <c r="C38" s="39"/>
      <c r="D38" s="39"/>
      <c r="E38" s="39"/>
      <c r="F38" s="39"/>
      <c r="G38" s="39"/>
    </row>
    <row r="39" customFormat="false" ht="15" hidden="false" customHeight="false" outlineLevel="0" collapsed="false">
      <c r="B39" s="5" t="s">
        <v>131</v>
      </c>
      <c r="C39" s="5" t="s">
        <v>132</v>
      </c>
      <c r="D39" s="5" t="s">
        <v>133</v>
      </c>
      <c r="E39" s="5" t="s">
        <v>120</v>
      </c>
      <c r="F39" s="5" t="s">
        <v>121</v>
      </c>
    </row>
    <row r="40" customFormat="false" ht="15" hidden="false" customHeight="false" outlineLevel="0" collapsed="false">
      <c r="B40" s="51" t="n">
        <v>0.5</v>
      </c>
      <c r="C40" s="42" t="n">
        <f aca="false">B40*C14*C8*(C9*C10)</f>
        <v>220000</v>
      </c>
      <c r="D40" s="42" t="n">
        <f aca="false">C12</f>
        <v>176000</v>
      </c>
      <c r="E40" s="52" t="n">
        <f aca="false">C40-D40</f>
        <v>44000</v>
      </c>
      <c r="F40" s="21" t="n">
        <f aca="false">IFERROR(E40/D40,0)</f>
        <v>0.25</v>
      </c>
    </row>
    <row r="41" customFormat="false" ht="15" hidden="false" customHeight="false" outlineLevel="0" collapsed="false">
      <c r="B41" s="51" t="n">
        <v>0.52</v>
      </c>
      <c r="C41" s="42" t="n">
        <f aca="false">B41*C14*C8*(C9*C10)</f>
        <v>228800</v>
      </c>
      <c r="D41" s="42" t="n">
        <f aca="false">C12</f>
        <v>176000</v>
      </c>
      <c r="E41" s="45" t="n">
        <f aca="false">C41-D41</f>
        <v>52800</v>
      </c>
      <c r="F41" s="21" t="n">
        <f aca="false">IFERROR(E41/D41,0)</f>
        <v>0.3</v>
      </c>
    </row>
    <row r="42" customFormat="false" ht="15" hidden="false" customHeight="false" outlineLevel="0" collapsed="false">
      <c r="B42" s="51" t="n">
        <v>0.55</v>
      </c>
      <c r="C42" s="42" t="n">
        <f aca="false">B42*C14*C8*(C9*C10)</f>
        <v>242000</v>
      </c>
      <c r="D42" s="42" t="n">
        <f aca="false">C12</f>
        <v>176000</v>
      </c>
      <c r="E42" s="45" t="n">
        <f aca="false">C42-D42</f>
        <v>66000</v>
      </c>
      <c r="F42" s="21" t="n">
        <f aca="false">IFERROR(E42/D42,0)</f>
        <v>0.375</v>
      </c>
    </row>
    <row r="43" customFormat="false" ht="15" hidden="false" customHeight="false" outlineLevel="0" collapsed="false">
      <c r="B43" s="51" t="n">
        <v>0.58</v>
      </c>
      <c r="C43" s="42" t="n">
        <f aca="false">B43*C14*C8*(C9*C10)</f>
        <v>255200</v>
      </c>
      <c r="D43" s="42" t="n">
        <f aca="false">C12</f>
        <v>176000</v>
      </c>
      <c r="E43" s="45" t="n">
        <f aca="false">C43-D43</f>
        <v>79200</v>
      </c>
      <c r="F43" s="21" t="n">
        <f aca="false">IFERROR(E43/D43,0)</f>
        <v>0.45</v>
      </c>
    </row>
    <row r="44" customFormat="false" ht="15" hidden="false" customHeight="false" outlineLevel="0" collapsed="false">
      <c r="B44" s="51" t="n">
        <v>0.6</v>
      </c>
      <c r="C44" s="42" t="n">
        <f aca="false">B44*C14*C8*(C9*C10)</f>
        <v>264000</v>
      </c>
      <c r="D44" s="42" t="n">
        <f aca="false">C12</f>
        <v>176000</v>
      </c>
      <c r="E44" s="45" t="n">
        <f aca="false">C44-D44</f>
        <v>88000</v>
      </c>
      <c r="F44" s="21" t="n">
        <f aca="false">IFERROR(E44/D44,0)</f>
        <v>0.5</v>
      </c>
    </row>
    <row r="45" customFormat="false" ht="15" hidden="false" customHeight="false" outlineLevel="0" collapsed="false">
      <c r="B45" s="51" t="n">
        <v>0.65</v>
      </c>
      <c r="C45" s="42" t="n">
        <f aca="false">B45*C14*C8*(C9*C10)</f>
        <v>286000</v>
      </c>
      <c r="D45" s="42" t="n">
        <f aca="false">C12</f>
        <v>176000</v>
      </c>
      <c r="E45" s="45" t="n">
        <f aca="false">C45-D45</f>
        <v>110000</v>
      </c>
      <c r="F45" s="21" t="n">
        <f aca="false">IFERROR(E45/D45,0)</f>
        <v>0.625</v>
      </c>
    </row>
    <row r="48" customFormat="false" ht="15" hidden="false" customHeight="false" outlineLevel="0" collapsed="false">
      <c r="B48" s="39" t="s">
        <v>134</v>
      </c>
      <c r="C48" s="39"/>
      <c r="D48" s="39"/>
      <c r="E48" s="39"/>
      <c r="F48" s="39"/>
      <c r="G48" s="39"/>
    </row>
    <row r="49" customFormat="false" ht="15" hidden="false" customHeight="false" outlineLevel="0" collapsed="false">
      <c r="B49" s="5" t="s">
        <v>62</v>
      </c>
      <c r="C49" s="5" t="s">
        <v>135</v>
      </c>
      <c r="D49" s="5" t="s">
        <v>136</v>
      </c>
      <c r="E49" s="5" t="s">
        <v>64</v>
      </c>
      <c r="F49" s="5" t="s">
        <v>65</v>
      </c>
    </row>
    <row r="50" customFormat="false" ht="15" hidden="false" customHeight="false" outlineLevel="0" collapsed="false">
      <c r="B50" s="40" t="s">
        <v>66</v>
      </c>
      <c r="C50" s="42" t="n">
        <f aca="false">C12</f>
        <v>176000</v>
      </c>
      <c r="D50" s="42" t="n">
        <f aca="false">C35</f>
        <v>88000</v>
      </c>
      <c r="E50" s="53" t="n">
        <f aca="false">D50</f>
        <v>88000</v>
      </c>
      <c r="F50" s="21" t="n">
        <f aca="false">IFERROR(E50/(C50*1),0)</f>
        <v>0.5</v>
      </c>
    </row>
    <row r="51" customFormat="false" ht="15" hidden="false" customHeight="false" outlineLevel="0" collapsed="false">
      <c r="B51" s="40" t="s">
        <v>67</v>
      </c>
      <c r="C51" s="42" t="n">
        <f aca="false">C12</f>
        <v>176000</v>
      </c>
      <c r="D51" s="42" t="n">
        <f aca="false">C35</f>
        <v>88000</v>
      </c>
      <c r="E51" s="53" t="n">
        <f aca="false">E50+D51</f>
        <v>176000</v>
      </c>
      <c r="F51" s="21" t="n">
        <f aca="false">IFERROR(E51/(C51*2),0)</f>
        <v>0.5</v>
      </c>
    </row>
    <row r="52" customFormat="false" ht="15" hidden="false" customHeight="false" outlineLevel="0" collapsed="false">
      <c r="B52" s="40" t="s">
        <v>68</v>
      </c>
      <c r="C52" s="42" t="n">
        <f aca="false">C12</f>
        <v>176000</v>
      </c>
      <c r="D52" s="42" t="n">
        <f aca="false">C35</f>
        <v>88000</v>
      </c>
      <c r="E52" s="53" t="n">
        <f aca="false">E51+D52</f>
        <v>264000</v>
      </c>
      <c r="F52" s="21" t="n">
        <f aca="false">IFERROR(E52/(C52*3),0)</f>
        <v>0.5</v>
      </c>
    </row>
    <row r="53" customFormat="false" ht="15" hidden="false" customHeight="false" outlineLevel="0" collapsed="false">
      <c r="B53" s="40" t="s">
        <v>69</v>
      </c>
      <c r="C53" s="42" t="n">
        <f aca="false">C12</f>
        <v>176000</v>
      </c>
      <c r="D53" s="42" t="n">
        <f aca="false">C35</f>
        <v>88000</v>
      </c>
      <c r="E53" s="53" t="n">
        <f aca="false">E52+D53</f>
        <v>352000</v>
      </c>
      <c r="F53" s="21" t="n">
        <f aca="false">IFERROR(E53/(C53*4),0)</f>
        <v>0.5</v>
      </c>
    </row>
    <row r="54" customFormat="false" ht="15" hidden="false" customHeight="false" outlineLevel="0" collapsed="false">
      <c r="B54" s="40" t="s">
        <v>70</v>
      </c>
      <c r="C54" s="42" t="n">
        <f aca="false">C12</f>
        <v>176000</v>
      </c>
      <c r="D54" s="42" t="n">
        <f aca="false">C35</f>
        <v>88000</v>
      </c>
      <c r="E54" s="53" t="n">
        <f aca="false">E53+D54</f>
        <v>440000</v>
      </c>
      <c r="F54" s="21" t="n">
        <f aca="false">IFERROR(E54/(C54*5),0)</f>
        <v>0.5</v>
      </c>
    </row>
    <row r="57" customFormat="false" ht="15" hidden="false" customHeight="false" outlineLevel="0" collapsed="false">
      <c r="B57" s="54" t="s">
        <v>137</v>
      </c>
      <c r="C57" s="54"/>
      <c r="D57" s="54"/>
      <c r="E57" s="54"/>
      <c r="F57" s="54"/>
      <c r="G57" s="54"/>
    </row>
    <row r="58" customFormat="false" ht="15" hidden="false" customHeight="false" outlineLevel="0" collapsed="false">
      <c r="B58" s="55" t="s">
        <v>138</v>
      </c>
      <c r="C58" s="55"/>
      <c r="D58" s="55"/>
      <c r="E58" s="55"/>
      <c r="F58" s="55"/>
      <c r="G58" s="55"/>
    </row>
    <row r="59" customFormat="false" ht="15" hidden="false" customHeight="false" outlineLevel="0" collapsed="false">
      <c r="B59" s="55" t="s">
        <v>139</v>
      </c>
      <c r="C59" s="55"/>
      <c r="D59" s="55"/>
      <c r="E59" s="55"/>
      <c r="F59" s="55"/>
      <c r="G59" s="55"/>
    </row>
    <row r="60" customFormat="false" ht="15" hidden="false" customHeight="false" outlineLevel="0" collapsed="false">
      <c r="B60" s="55" t="s">
        <v>140</v>
      </c>
      <c r="C60" s="55"/>
      <c r="D60" s="55"/>
      <c r="E60" s="55"/>
      <c r="F60" s="55"/>
      <c r="G60" s="55"/>
    </row>
    <row r="61" customFormat="false" ht="15" hidden="false" customHeight="false" outlineLevel="0" collapsed="false">
      <c r="B61" s="55" t="s">
        <v>141</v>
      </c>
      <c r="C61" s="55"/>
      <c r="D61" s="55"/>
      <c r="E61" s="55"/>
      <c r="F61" s="55"/>
      <c r="G61" s="55"/>
    </row>
    <row r="62" customFormat="false" ht="15" hidden="false" customHeight="false" outlineLevel="0" collapsed="false">
      <c r="B62" s="55" t="s">
        <v>142</v>
      </c>
      <c r="C62" s="55"/>
      <c r="D62" s="55"/>
      <c r="E62" s="55"/>
      <c r="F62" s="55"/>
      <c r="G62" s="55"/>
    </row>
    <row r="63" customFormat="false" ht="15" hidden="false" customHeight="false" outlineLevel="0" collapsed="false">
      <c r="B63" s="55" t="s">
        <v>143</v>
      </c>
      <c r="C63" s="55"/>
      <c r="D63" s="55"/>
      <c r="E63" s="55"/>
      <c r="F63" s="55"/>
      <c r="G63" s="55"/>
    </row>
    <row r="64" customFormat="false" ht="15" hidden="false" customHeight="false" outlineLevel="0" collapsed="false">
      <c r="B64" s="55" t="s">
        <v>144</v>
      </c>
      <c r="C64" s="55"/>
      <c r="D64" s="55"/>
      <c r="E64" s="55"/>
      <c r="F64" s="55"/>
      <c r="G64" s="55"/>
    </row>
    <row r="65" customFormat="false" ht="15" hidden="false" customHeight="false" outlineLevel="0" collapsed="false">
      <c r="B65" s="55" t="s">
        <v>145</v>
      </c>
      <c r="C65" s="55"/>
      <c r="D65" s="55"/>
      <c r="E65" s="55"/>
      <c r="F65" s="55"/>
      <c r="G65" s="55"/>
    </row>
  </sheetData>
  <mergeCells count="16">
    <mergeCell ref="B1:G1"/>
    <mergeCell ref="B2:G2"/>
    <mergeCell ref="B4:G4"/>
    <mergeCell ref="B17:G17"/>
    <mergeCell ref="B27:G27"/>
    <mergeCell ref="B38:G38"/>
    <mergeCell ref="B48:G48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2026-03-19T16:57:42Z</dcterms:created>
  <dc:creator>openpyxl</dc:creator>
  <dc:description/>
  <dc:language>en-US</dc:language>
  <cp:lastModifiedBy/>
  <dcterms:modified xsi:type="dcterms:W3CDTF">2026-03-19T17:03:17Z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